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usu-my.sharepoint.com/personal/e1122744_u_nus_edu/Documents/Documents/Y3S2/EG3611A/Aster/RBS_Simulation/"/>
    </mc:Choice>
  </mc:AlternateContent>
  <xr:revisionPtr revIDLastSave="79" documentId="13_ncr:1_{F4CF31C9-A7E1-4FAC-ADE9-99E10237DDC6}" xr6:coauthVersionLast="47" xr6:coauthVersionMax="47" xr10:uidLastSave="{C02330FE-A61E-47F8-AC32-3DDC7E8445A0}"/>
  <bookViews>
    <workbookView xWindow="-98" yWindow="-98" windowWidth="21795" windowHeight="12975" activeTab="2" xr2:uid="{17BA9F62-9710-4CF9-92E1-2469E5FE3B54}"/>
  </bookViews>
  <sheets>
    <sheet name="Sheet4 (2)" sheetId="1" r:id="rId1"/>
    <sheet name="RBS_Simulation" sheetId="2" r:id="rId2"/>
    <sheet name="Visualisation" sheetId="3" r:id="rId3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W13" i="1"/>
  <c r="G13" i="1"/>
  <c r="C13" i="1"/>
  <c r="W12" i="1"/>
  <c r="G12" i="1"/>
  <c r="I12" i="1" s="1"/>
  <c r="C12" i="1"/>
  <c r="H7" i="1"/>
  <c r="G7" i="1"/>
  <c r="M7" i="1" s="1"/>
  <c r="N6" i="1"/>
  <c r="O6" i="1" s="1"/>
  <c r="P6" i="1" s="1"/>
  <c r="M6" i="1"/>
  <c r="L6" i="1"/>
  <c r="J6" i="1"/>
  <c r="H6" i="1"/>
  <c r="G6" i="1"/>
  <c r="H5" i="1"/>
  <c r="G5" i="1"/>
  <c r="M5" i="1" s="1"/>
  <c r="H4" i="1"/>
  <c r="G4" i="1"/>
  <c r="M4" i="1" s="1"/>
  <c r="F4" i="1"/>
  <c r="J4" i="1" l="1"/>
  <c r="L4" i="1"/>
  <c r="N7" i="1"/>
  <c r="O7" i="1" s="1"/>
  <c r="P7" i="1" s="1"/>
  <c r="M14" i="1" s="1"/>
  <c r="J5" i="1"/>
  <c r="N4" i="1"/>
  <c r="J7" i="1"/>
  <c r="L7" i="1"/>
  <c r="N5" i="1"/>
  <c r="D12" i="1"/>
  <c r="L5" i="1"/>
  <c r="O5" i="1" l="1"/>
  <c r="P5" i="1" s="1"/>
  <c r="E13" i="1"/>
  <c r="F13" i="1" s="1"/>
  <c r="J13" i="1" s="1"/>
  <c r="U13" i="1" s="1"/>
  <c r="V13" i="1" s="1"/>
  <c r="E12" i="1"/>
  <c r="F12" i="1" s="1"/>
  <c r="O4" i="1"/>
  <c r="P4" i="1" s="1"/>
  <c r="J12" i="1" l="1"/>
  <c r="U12" i="1" s="1"/>
  <c r="V12" i="1" s="1"/>
  <c r="N12" i="1"/>
  <c r="O12" i="1" s="1"/>
  <c r="P12" i="1" s="1"/>
  <c r="Q12" i="1" s="1"/>
  <c r="M12" i="1"/>
  <c r="M13" i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<sst xmlns="http://schemas.openxmlformats.org/spreadsheetml/2006/main" count="73" uniqueCount="71">
  <si>
    <t>Equipment</t>
  </si>
  <si>
    <t>Initial Quantity of Spare parts</t>
  </si>
  <si>
    <t>MBTF</t>
  </si>
  <si>
    <t>MTTR</t>
  </si>
  <si>
    <t>Lead time</t>
  </si>
  <si>
    <t>Simulation Time</t>
  </si>
  <si>
    <t>Pump</t>
  </si>
  <si>
    <t>Fill Rate = Probability of having a spare available when a failure occurs (Case for stock =1)</t>
  </si>
  <si>
    <t>Probability of requiring more than s (e,g,1) spare (i.e. 2 or more failures) during lead time (stockout probability)</t>
  </si>
  <si>
    <t>eg. P(2 or more demand) =1-[p(0)+P(1)]</t>
  </si>
  <si>
    <t>Probability of not having a stock out</t>
  </si>
  <si>
    <t>Interpretation: with 1 spare, there is 99.78% probability that at any given time, the colling water pump will be operational and, should it fails, the nexcessary mechnanical seal will be in stock to repair it immediately</t>
  </si>
  <si>
    <t>Data Setup</t>
  </si>
  <si>
    <t>Step 1</t>
  </si>
  <si>
    <t>Step 2 Fill rate</t>
  </si>
  <si>
    <t>Step 3 Calculate System readiness (R)</t>
  </si>
  <si>
    <t>Qty</t>
  </si>
  <si>
    <t>MTBF (hrs)</t>
  </si>
  <si>
    <t>MTTR(hrs)</t>
  </si>
  <si>
    <t>Critical Spare</t>
  </si>
  <si>
    <t>Availability (when spare available)</t>
  </si>
  <si>
    <t>Failure rate (λ) of the seal (on the pump)=1/ MTBF</t>
  </si>
  <si>
    <t>Spare lead time, L(hrs)</t>
  </si>
  <si>
    <t>No of stock (s)</t>
  </si>
  <si>
    <t>Expected number of demands during lead time, λL</t>
  </si>
  <si>
    <t>Demand,k</t>
  </si>
  <si>
    <t>Probability of demand P(k)=(λL)^k*e^(-λL)/k!</t>
  </si>
  <si>
    <t>P(demand) possion formula</t>
  </si>
  <si>
    <t>P(stockout per demand) where p(K&gt;s)=1-P(k&lt;=s)</t>
  </si>
  <si>
    <t>Fill rate (FR) = 1 - P(stockout)</t>
  </si>
  <si>
    <t>Readiness = FRxA 
(consider it also as readiness if stock = demand)</t>
  </si>
  <si>
    <t>Seal</t>
  </si>
  <si>
    <t>Economics Impact calculation</t>
  </si>
  <si>
    <t>Step 1 Calculate the annualised risk of a stock out event: Pumps fail and we have no spare to reapir it</t>
  </si>
  <si>
    <t>Step 2 Calculate the Cost consequences of a single Stock out event</t>
  </si>
  <si>
    <t>Step 3 calculate the annualised epexcted monetary loss</t>
  </si>
  <si>
    <t>Justification using break even Cost approach</t>
  </si>
  <si>
    <t>Annual Value of downtime avioded= Stockouts avoided x hours per stockoutx cost per hours</t>
  </si>
  <si>
    <t>Break even downtime cost</t>
  </si>
  <si>
    <t>No of stock</t>
  </si>
  <si>
    <t>Cost of spare</t>
  </si>
  <si>
    <t>holding cost (25% annually)</t>
  </si>
  <si>
    <t>Annual Pump Failure rate: Failure / year</t>
  </si>
  <si>
    <t xml:space="preserve">P(stockout per demand) </t>
  </si>
  <si>
    <t>Annual Probability of stock out event</t>
  </si>
  <si>
    <t>additional Downtime per stock out event</t>
  </si>
  <si>
    <t>Production margin loss / hour</t>
  </si>
  <si>
    <t>Total Loss/ event</t>
  </si>
  <si>
    <t>Annualised expected Loss due to not stocking the parts, $/year</t>
  </si>
  <si>
    <t>Delta in spare from (higher to lower)</t>
  </si>
  <si>
    <t>Overall drop in system Avilability Risk of spare shortage</t>
  </si>
  <si>
    <t>Reduction in Stock out events</t>
  </si>
  <si>
    <t>Break event cost per event</t>
  </si>
  <si>
    <t>Benefits</t>
  </si>
  <si>
    <t>Houly downtime cost</t>
  </si>
  <si>
    <t>discount rate</t>
  </si>
  <si>
    <t>Asset Life, Years</t>
  </si>
  <si>
    <t>NPV</t>
  </si>
  <si>
    <t>Economic value of buying spare= Risk - cost</t>
  </si>
  <si>
    <t>PV annuity factor</t>
  </si>
  <si>
    <t>1-&gt;0</t>
  </si>
  <si>
    <t>2-&gt;1</t>
  </si>
  <si>
    <t>3-&gt;2</t>
  </si>
  <si>
    <t>Avg Uptime</t>
  </si>
  <si>
    <t>Avg Downtime with Spares</t>
  </si>
  <si>
    <t>Avg Availability</t>
  </si>
  <si>
    <t>Avg Downtime without Spares</t>
  </si>
  <si>
    <t>Avg Fill Rate</t>
  </si>
  <si>
    <t>Avg Stockout Probability</t>
  </si>
  <si>
    <t>Avg Readiness</t>
  </si>
  <si>
    <t>No. of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</si>
</sst>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0"/>
    <numFmt numFmtId="166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2" borderId="0" xfId="0" applyNumberFormat="1" applyFill="1" applyAlignment="1">
      <alignment vertical="center"/>
    </xf>
    <xf numFmtId="10" fontId="1" fillId="0" borderId="0" xfId="2" applyNumberFormat="1" applyFont="1" applyAlignment="1">
      <alignment vertical="center"/>
    </xf>
    <xf numFmtId="166" fontId="1" fillId="0" borderId="0" xfId="2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5" fillId="2" borderId="2" xfId="0" applyFont="1" applyFill="1" applyBorder="1" applyAlignment="1">
      <alignment horizontal="left" vertical="center" wrapText="1"/>
    </xf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vertical="center" wrapText="1"/>
    </xf>
    <xf numFmtId="164" fontId="1" fillId="0" borderId="0" xfId="1" applyFon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9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center" wrapText="1"/>
    </xf>
    <xf numFmtId="0" fontId="2" fillId="2" borderId="3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161925</xdr:rowOff>
        </xdr:from>
        <xdr:to>
          <xdr:col>14</xdr:col>
          <xdr:colOff>519113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91</xdr:row>
      <xdr:rowOff>0</xdr:rowOff>
    </xdr:from>
    <xdr:to>
      <xdr:col>9</xdr:col>
      <xdr:colOff>520700</xdr:colOff>
      <xdr:row>96</xdr:row>
      <xdr:rowOff>111125</xdr:rowOff>
    </xdr:to>
    <xdr:pic>
      <xdr:nvPicPr>
        <xdr:cNvPr id="157" name="Gantt_Qty16.0">
          <a:extLst>
            <a:ext uri="{FF2B5EF4-FFF2-40B4-BE49-F238E27FC236}">
              <a16:creationId xmlns:a16="http://schemas.microsoft.com/office/drawing/2014/main" id="{9F716F71-A01D-22B8-A566-7F777FA49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68725"/>
          <a:ext cx="6350000" cy="10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9</xdr:col>
      <xdr:colOff>520700</xdr:colOff>
      <xdr:row>102</xdr:row>
      <xdr:rowOff>111125</xdr:rowOff>
    </xdr:to>
    <xdr:pic>
      <xdr:nvPicPr>
        <xdr:cNvPr id="159" name="Gantt_Qty17.0">
          <a:extLst>
            <a:ext uri="{FF2B5EF4-FFF2-40B4-BE49-F238E27FC236}">
              <a16:creationId xmlns:a16="http://schemas.microsoft.com/office/drawing/2014/main" id="{36887268-0734-F63D-8B21-903C918ED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54575"/>
          <a:ext cx="6350000" cy="10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9</xdr:col>
      <xdr:colOff>520700</xdr:colOff>
      <xdr:row>108</xdr:row>
      <xdr:rowOff>111125</xdr:rowOff>
    </xdr:to>
    <xdr:pic>
      <xdr:nvPicPr>
        <xdr:cNvPr id="161" name="Gantt_Qty18.0">
          <a:extLst>
            <a:ext uri="{FF2B5EF4-FFF2-40B4-BE49-F238E27FC236}">
              <a16:creationId xmlns:a16="http://schemas.microsoft.com/office/drawing/2014/main" id="{6CA6B2E4-CE3B-C572-78D1-F1A98126A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640425"/>
          <a:ext cx="6350000" cy="10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</xdr:row>
      <xdr:rowOff>0</xdr:rowOff>
    </xdr:from>
    <xdr:to>
      <xdr:col>9</xdr:col>
      <xdr:colOff>520700</xdr:colOff>
      <xdr:row>114</xdr:row>
      <xdr:rowOff>111125</xdr:rowOff>
    </xdr:to>
    <xdr:pic>
      <xdr:nvPicPr>
        <xdr:cNvPr id="163" name="Gantt_Qty19.0">
          <a:extLst>
            <a:ext uri="{FF2B5EF4-FFF2-40B4-BE49-F238E27FC236}">
              <a16:creationId xmlns:a16="http://schemas.microsoft.com/office/drawing/2014/main" id="{08DD015A-D0A5-384C-1C9E-C6D33CF79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726275"/>
          <a:ext cx="6350000" cy="10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9</xdr:col>
      <xdr:colOff>520700</xdr:colOff>
      <xdr:row>120</xdr:row>
      <xdr:rowOff>111125</xdr:rowOff>
    </xdr:to>
    <xdr:pic>
      <xdr:nvPicPr>
        <xdr:cNvPr id="165" name="Gantt_Qty20.0">
          <a:extLst>
            <a:ext uri="{FF2B5EF4-FFF2-40B4-BE49-F238E27FC236}">
              <a16:creationId xmlns:a16="http://schemas.microsoft.com/office/drawing/2014/main" id="{9F349692-B4D0-8E37-BFF3-C2D258D61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812125"/>
          <a:ext cx="6350000" cy="10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9</xdr:col>
      <xdr:colOff>520700</xdr:colOff>
      <xdr:row>6</xdr:row>
      <xdr:rowOff>111125</xdr:rowOff>
    </xdr:to>
    <xdr:pic>
      <xdr:nvPicPr>
        <xdr:cNvPr id="645" name="Gantt_Qty1.0">
          <a:extLst>
            <a:ext uri="{FF2B5EF4-FFF2-40B4-BE49-F238E27FC236}">
              <a16:creationId xmlns:a16="http://schemas.microsoft.com/office/drawing/2014/main" id="{2A4C5E90-98DE-115C-511C-64584584E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748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9</xdr:col>
      <xdr:colOff>520700</xdr:colOff>
      <xdr:row>12</xdr:row>
      <xdr:rowOff>111125</xdr:rowOff>
    </xdr:to>
    <xdr:pic>
      <xdr:nvPicPr>
        <xdr:cNvPr id="647" name="Gantt_Qty2.0">
          <a:extLst>
            <a:ext uri="{FF2B5EF4-FFF2-40B4-BE49-F238E27FC236}">
              <a16:creationId xmlns:a16="http://schemas.microsoft.com/office/drawing/2014/main" id="{88386B79-9937-2C34-9E72-7C794A392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9230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9</xdr:col>
      <xdr:colOff>520700</xdr:colOff>
      <xdr:row>18</xdr:row>
      <xdr:rowOff>111125</xdr:rowOff>
    </xdr:to>
    <xdr:pic>
      <xdr:nvPicPr>
        <xdr:cNvPr id="649" name="Gantt_Qty3.0">
          <a:extLst>
            <a:ext uri="{FF2B5EF4-FFF2-40B4-BE49-F238E27FC236}">
              <a16:creationId xmlns:a16="http://schemas.microsoft.com/office/drawing/2014/main" id="{4427C6A7-A601-15CE-E398-306BB905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5713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9</xdr:col>
      <xdr:colOff>520700</xdr:colOff>
      <xdr:row>24</xdr:row>
      <xdr:rowOff>111125</xdr:rowOff>
    </xdr:to>
    <xdr:pic>
      <xdr:nvPicPr>
        <xdr:cNvPr id="651" name="Gantt_Qty4.0">
          <a:extLst>
            <a:ext uri="{FF2B5EF4-FFF2-40B4-BE49-F238E27FC236}">
              <a16:creationId xmlns:a16="http://schemas.microsoft.com/office/drawing/2014/main" id="{1494C533-97C8-F496-5BBD-E5B4FACB4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72195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9</xdr:col>
      <xdr:colOff>520700</xdr:colOff>
      <xdr:row>30</xdr:row>
      <xdr:rowOff>111125</xdr:rowOff>
    </xdr:to>
    <xdr:pic>
      <xdr:nvPicPr>
        <xdr:cNvPr id="653" name="Gantt_Qty5.0">
          <a:extLst>
            <a:ext uri="{FF2B5EF4-FFF2-40B4-BE49-F238E27FC236}">
              <a16:creationId xmlns:a16="http://schemas.microsoft.com/office/drawing/2014/main" id="{53204CFD-C81D-8AC3-C25A-F73F27038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68678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9</xdr:col>
      <xdr:colOff>520700</xdr:colOff>
      <xdr:row>36</xdr:row>
      <xdr:rowOff>111125</xdr:rowOff>
    </xdr:to>
    <xdr:pic>
      <xdr:nvPicPr>
        <xdr:cNvPr id="655" name="Gantt_Qty6.0">
          <a:extLst>
            <a:ext uri="{FF2B5EF4-FFF2-40B4-BE49-F238E27FC236}">
              <a16:creationId xmlns:a16="http://schemas.microsoft.com/office/drawing/2014/main" id="{17D8D198-9A25-C77A-E4BF-37AF9241F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65160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9</xdr:col>
      <xdr:colOff>520700</xdr:colOff>
      <xdr:row>42</xdr:row>
      <xdr:rowOff>111125</xdr:rowOff>
    </xdr:to>
    <xdr:pic>
      <xdr:nvPicPr>
        <xdr:cNvPr id="657" name="Gantt_Qty7.0">
          <a:extLst>
            <a:ext uri="{FF2B5EF4-FFF2-40B4-BE49-F238E27FC236}">
              <a16:creationId xmlns:a16="http://schemas.microsoft.com/office/drawing/2014/main" id="{55271D62-C858-13E9-0796-BFA667C6B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61643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9</xdr:col>
      <xdr:colOff>520700</xdr:colOff>
      <xdr:row>48</xdr:row>
      <xdr:rowOff>111125</xdr:rowOff>
    </xdr:to>
    <xdr:pic>
      <xdr:nvPicPr>
        <xdr:cNvPr id="659" name="Gantt_Qty8.0">
          <a:extLst>
            <a:ext uri="{FF2B5EF4-FFF2-40B4-BE49-F238E27FC236}">
              <a16:creationId xmlns:a16="http://schemas.microsoft.com/office/drawing/2014/main" id="{B6976179-8730-3A66-A1A8-0D76F87CD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58126"/>
          <a:ext cx="6351994" cy="10248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9</xdr:col>
      <xdr:colOff>520700</xdr:colOff>
      <xdr:row>54</xdr:row>
      <xdr:rowOff>111125</xdr:rowOff>
    </xdr:to>
    <xdr:pic>
      <xdr:nvPicPr>
        <xdr:cNvPr id="661" name="Gantt_Qty9.0">
          <a:extLst>
            <a:ext uri="{FF2B5EF4-FFF2-40B4-BE49-F238E27FC236}">
              <a16:creationId xmlns:a16="http://schemas.microsoft.com/office/drawing/2014/main" id="{D3852A38-137C-84E1-1A04-78050EFA1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54608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9</xdr:col>
      <xdr:colOff>520700</xdr:colOff>
      <xdr:row>60</xdr:row>
      <xdr:rowOff>111125</xdr:rowOff>
    </xdr:to>
    <xdr:pic>
      <xdr:nvPicPr>
        <xdr:cNvPr id="663" name="Gantt_Qty10.0">
          <a:extLst>
            <a:ext uri="{FF2B5EF4-FFF2-40B4-BE49-F238E27FC236}">
              <a16:creationId xmlns:a16="http://schemas.microsoft.com/office/drawing/2014/main" id="{418435DB-FC84-C334-4DED-4DD78BE76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51091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9</xdr:col>
      <xdr:colOff>520700</xdr:colOff>
      <xdr:row>66</xdr:row>
      <xdr:rowOff>111125</xdr:rowOff>
    </xdr:to>
    <xdr:pic>
      <xdr:nvPicPr>
        <xdr:cNvPr id="665" name="Gantt_Qty11.0">
          <a:extLst>
            <a:ext uri="{FF2B5EF4-FFF2-40B4-BE49-F238E27FC236}">
              <a16:creationId xmlns:a16="http://schemas.microsoft.com/office/drawing/2014/main" id="{743D56EB-D1B0-7496-655B-5D0FFD856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47573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9</xdr:col>
      <xdr:colOff>520700</xdr:colOff>
      <xdr:row>72</xdr:row>
      <xdr:rowOff>111125</xdr:rowOff>
    </xdr:to>
    <xdr:pic>
      <xdr:nvPicPr>
        <xdr:cNvPr id="667" name="Gantt_Qty12.0">
          <a:extLst>
            <a:ext uri="{FF2B5EF4-FFF2-40B4-BE49-F238E27FC236}">
              <a16:creationId xmlns:a16="http://schemas.microsoft.com/office/drawing/2014/main" id="{D3D77000-BAB4-9698-8296-862DBF203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44056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9</xdr:col>
      <xdr:colOff>520700</xdr:colOff>
      <xdr:row>78</xdr:row>
      <xdr:rowOff>111125</xdr:rowOff>
    </xdr:to>
    <xdr:pic>
      <xdr:nvPicPr>
        <xdr:cNvPr id="669" name="Gantt_Qty13.0">
          <a:extLst>
            <a:ext uri="{FF2B5EF4-FFF2-40B4-BE49-F238E27FC236}">
              <a16:creationId xmlns:a16="http://schemas.microsoft.com/office/drawing/2014/main" id="{03B9A807-CD0E-72A5-2223-BBEF6B1F2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40538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9</xdr:col>
      <xdr:colOff>520700</xdr:colOff>
      <xdr:row>84</xdr:row>
      <xdr:rowOff>111125</xdr:rowOff>
    </xdr:to>
    <xdr:pic>
      <xdr:nvPicPr>
        <xdr:cNvPr id="671" name="Gantt_Qty14.0">
          <a:extLst>
            <a:ext uri="{FF2B5EF4-FFF2-40B4-BE49-F238E27FC236}">
              <a16:creationId xmlns:a16="http://schemas.microsoft.com/office/drawing/2014/main" id="{4A3B4F6C-13EF-E2D3-B0DC-2C1CEBBE4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37021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9</xdr:col>
      <xdr:colOff>520700</xdr:colOff>
      <xdr:row>90</xdr:row>
      <xdr:rowOff>111125</xdr:rowOff>
    </xdr:to>
    <xdr:pic>
      <xdr:nvPicPr>
        <xdr:cNvPr id="673" name="Gantt_Qty15.0">
          <a:extLst>
            <a:ext uri="{FF2B5EF4-FFF2-40B4-BE49-F238E27FC236}">
              <a16:creationId xmlns:a16="http://schemas.microsoft.com/office/drawing/2014/main" id="{41CB36E0-527E-4E31-D63A-6C180766F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33503"/>
          <a:ext cx="6351994" cy="1024860"/>
        </a:xfrm>
        <a:prstGeom prst="rect">
          <a:avLst/>
        </a:prstGeom>
      </xdr:spPr>
    </xdr:pic>
    <xdr:clientData/>
  </xdr:twoCellAnchor>
  <xdr:twoCellAnchor editAs="oneCell">
    <xdr:from>
      <xdr:col>10</xdr:col>
      <xdr:colOff>645485</xdr:colOff>
      <xdr:row>0</xdr:row>
      <xdr:rowOff>0</xdr:rowOff>
    </xdr:from>
    <xdr:to>
      <xdr:col>21</xdr:col>
      <xdr:colOff>122348</xdr:colOff>
      <xdr:row>18</xdr:row>
      <xdr:rowOff>12552</xdr:rowOff>
    </xdr:to>
    <xdr:pic>
      <xdr:nvPicPr>
        <xdr:cNvPr id="675" name="PMF_Readiness">
          <a:extLst>
            <a:ext uri="{FF2B5EF4-FFF2-40B4-BE49-F238E27FC236}">
              <a16:creationId xmlns:a16="http://schemas.microsoft.com/office/drawing/2014/main" id="{70006379-684F-38C9-9EFD-32AA5972F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4700" y="0"/>
          <a:ext cx="6604000" cy="3302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3842A-B6E1-4614-A3E5-4D4D6040C816}">
  <sheetPr codeName="Sheet1"/>
  <dimension ref="A1:X14"/>
  <sheetViews>
    <sheetView topLeftCell="G1" zoomScale="56" workbookViewId="0">
      <selection activeCell="M12" sqref="M12"/>
    </sheetView>
  </sheetViews>
  <sheetFormatPr defaultColWidth="8.86328125" defaultRowHeight="14.25" x14ac:dyDescent="0.45"/>
  <cols>
    <col min="1" max="1" width="12.86328125" style="5" customWidth="1"/>
    <col min="2" max="3" width="14.3984375" style="5" customWidth="1"/>
    <col min="4" max="4" width="15.59765625" style="5" customWidth="1"/>
    <col min="5" max="5" width="16.1328125" style="5" customWidth="1"/>
    <col min="6" max="6" width="16" style="5" customWidth="1"/>
    <col min="7" max="7" width="19.3984375" style="5" customWidth="1"/>
    <col min="8" max="8" width="16.1328125" style="5" customWidth="1"/>
    <col min="9" max="9" width="13.86328125" style="5" customWidth="1"/>
    <col min="10" max="10" width="14.86328125" style="5" customWidth="1"/>
    <col min="11" max="11" width="18.3984375" style="5" customWidth="1"/>
    <col min="12" max="12" width="22.3984375" style="18" customWidth="1"/>
    <col min="13" max="13" width="16.59765625" style="5" customWidth="1"/>
    <col min="14" max="14" width="16.265625" style="5" customWidth="1"/>
    <col min="15" max="15" width="15.86328125" style="5" customWidth="1"/>
    <col min="16" max="16" width="31.73046875" style="5" customWidth="1"/>
    <col min="17" max="18" width="12.1328125" style="5" customWidth="1"/>
    <col min="19" max="19" width="11.59765625" style="5" customWidth="1"/>
    <col min="20" max="20" width="18.86328125" style="5" customWidth="1"/>
    <col min="21" max="22" width="16.73046875" style="5" customWidth="1"/>
    <col min="23" max="16384" width="8.86328125" style="5"/>
  </cols>
  <sheetData>
    <row r="1" spans="1:24" ht="58.15" x14ac:dyDescent="0.45">
      <c r="A1" s="1"/>
      <c r="B1" s="1"/>
      <c r="C1" s="1"/>
      <c r="D1" s="1"/>
      <c r="E1" s="1"/>
      <c r="F1" s="1"/>
      <c r="G1" s="1" t="s">
        <v>7</v>
      </c>
      <c r="H1" s="1"/>
      <c r="I1" s="1"/>
      <c r="J1" s="1"/>
      <c r="K1" s="1"/>
      <c r="L1" s="2" t="s">
        <v>8</v>
      </c>
      <c r="M1" s="1"/>
      <c r="N1" s="3" t="s">
        <v>9</v>
      </c>
      <c r="O1" s="3" t="s">
        <v>10</v>
      </c>
      <c r="P1" s="3" t="s">
        <v>11</v>
      </c>
      <c r="Q1" s="4"/>
    </row>
    <row r="2" spans="1:24" x14ac:dyDescent="0.45">
      <c r="A2" s="34" t="s">
        <v>12</v>
      </c>
      <c r="B2" s="35"/>
      <c r="C2" s="35"/>
      <c r="D2" s="35"/>
      <c r="E2" s="36"/>
      <c r="F2" s="6" t="s">
        <v>13</v>
      </c>
      <c r="G2" s="34" t="s">
        <v>14</v>
      </c>
      <c r="H2" s="35"/>
      <c r="I2" s="35"/>
      <c r="J2" s="35"/>
      <c r="K2" s="35"/>
      <c r="L2" s="35"/>
      <c r="M2" s="35"/>
      <c r="N2" s="35"/>
      <c r="O2" s="36"/>
      <c r="P2" s="7" t="s">
        <v>15</v>
      </c>
      <c r="Q2" s="4"/>
    </row>
    <row r="3" spans="1:24" s="4" customFormat="1" ht="57" x14ac:dyDescent="0.45">
      <c r="A3" s="8" t="s">
        <v>0</v>
      </c>
      <c r="B3" s="8" t="s">
        <v>16</v>
      </c>
      <c r="C3" s="8" t="s">
        <v>17</v>
      </c>
      <c r="D3" s="8" t="s">
        <v>18</v>
      </c>
      <c r="E3" s="8" t="s">
        <v>19</v>
      </c>
      <c r="F3" s="8" t="s">
        <v>20</v>
      </c>
      <c r="G3" s="8" t="s">
        <v>21</v>
      </c>
      <c r="H3" s="8" t="s">
        <v>22</v>
      </c>
      <c r="I3" s="8" t="s">
        <v>23</v>
      </c>
      <c r="J3" s="8" t="s">
        <v>24</v>
      </c>
      <c r="K3" s="8" t="s">
        <v>25</v>
      </c>
      <c r="L3" s="9" t="s">
        <v>26</v>
      </c>
      <c r="M3" s="8" t="s">
        <v>27</v>
      </c>
      <c r="N3" s="8" t="s">
        <v>28</v>
      </c>
      <c r="O3" s="8" t="s">
        <v>29</v>
      </c>
      <c r="P3" s="9" t="s">
        <v>30</v>
      </c>
      <c r="Q3" s="10"/>
    </row>
    <row r="4" spans="1:24" x14ac:dyDescent="0.45">
      <c r="A4" s="5" t="s">
        <v>6</v>
      </c>
      <c r="B4" s="5">
        <v>1</v>
      </c>
      <c r="C4" s="5">
        <v>4380</v>
      </c>
      <c r="D4" s="5">
        <v>48</v>
      </c>
      <c r="E4" s="5" t="s">
        <v>31</v>
      </c>
      <c r="F4" s="11">
        <f>C4/(C4+D4)</f>
        <v>0.98915989159891604</v>
      </c>
      <c r="G4" s="5">
        <f>1/$C$4</f>
        <v>2.2831050228310502E-4</v>
      </c>
      <c r="H4" s="5">
        <f>30*24</f>
        <v>720</v>
      </c>
      <c r="I4" s="5">
        <v>1</v>
      </c>
      <c r="J4" s="11">
        <f>G4*H4</f>
        <v>0.16438356164383561</v>
      </c>
      <c r="K4" s="12">
        <v>0</v>
      </c>
      <c r="L4" s="13">
        <f>POWER(G4*H4,K4)*EXP(-G4*H4)/FACT(K4)</f>
        <v>0.84841653942038608</v>
      </c>
      <c r="M4" s="14">
        <f>_xlfn.POISSON.DIST(K4, G4*H4, FALSE)</f>
        <v>0.84841653942038608</v>
      </c>
      <c r="N4" s="11">
        <f>1-_xlfn.POISSON.DIST(K4, G4*H4, TRUE)</f>
        <v>0.15158346057961392</v>
      </c>
      <c r="O4" s="15">
        <f>1-N4</f>
        <v>0.84841653942038608</v>
      </c>
      <c r="P4" s="16">
        <f>O4*$F$4</f>
        <v>0.83921961216379659</v>
      </c>
      <c r="Q4" s="16"/>
    </row>
    <row r="5" spans="1:24" x14ac:dyDescent="0.45">
      <c r="B5" s="5">
        <v>2</v>
      </c>
      <c r="G5" s="5">
        <f>1/$C$4</f>
        <v>2.2831050228310502E-4</v>
      </c>
      <c r="H5" s="5">
        <f>30*24</f>
        <v>720</v>
      </c>
      <c r="I5" s="5">
        <v>1</v>
      </c>
      <c r="J5" s="11">
        <f>G5*H5</f>
        <v>0.16438356164383561</v>
      </c>
      <c r="K5" s="12">
        <v>1</v>
      </c>
      <c r="L5" s="13">
        <f>POWER(G5*H5,K5)*EXP(-G5*H5)/FACT(K5)</f>
        <v>0.13946573250746072</v>
      </c>
      <c r="M5" s="11">
        <f>_xlfn.POISSON.DIST(K5, G5*H5, FALSE)</f>
        <v>0.13946573250746072</v>
      </c>
      <c r="N5" s="11">
        <f>1-_xlfn.POISSON.DIST(K5, G5*H5, TRUE)</f>
        <v>1.2117728072153167E-2</v>
      </c>
      <c r="O5" s="15">
        <f>1-N5</f>
        <v>0.98788227192784683</v>
      </c>
      <c r="P5" s="16">
        <f>O5*$F$4</f>
        <v>0.97717352101263988</v>
      </c>
      <c r="Q5" s="16"/>
    </row>
    <row r="6" spans="1:24" x14ac:dyDescent="0.45">
      <c r="B6" s="5">
        <v>3</v>
      </c>
      <c r="G6" s="5">
        <f>1/$C$4</f>
        <v>2.2831050228310502E-4</v>
      </c>
      <c r="H6" s="5">
        <f>30*24</f>
        <v>720</v>
      </c>
      <c r="I6" s="5">
        <v>1</v>
      </c>
      <c r="J6" s="11">
        <f>G6*H6</f>
        <v>0.16438356164383561</v>
      </c>
      <c r="K6" s="12">
        <v>2</v>
      </c>
      <c r="L6" s="13">
        <f>POWER(G6*H6,K6)*EXP(-G6*H6)/FACT(K6)</f>
        <v>1.1462936918421427E-2</v>
      </c>
      <c r="M6" s="11">
        <f>_xlfn.POISSON.DIST(K6, G6*H6, FALSE)</f>
        <v>1.1462936918421427E-2</v>
      </c>
      <c r="N6" s="11">
        <f>1-_xlfn.POISSON.DIST(K6, G6*H6, TRUE)</f>
        <v>6.5479115373179297E-4</v>
      </c>
      <c r="O6" s="15">
        <f>1-N6</f>
        <v>0.99934520884626821</v>
      </c>
      <c r="P6" s="16">
        <f>O6*$F$4</f>
        <v>0.98851219845227078</v>
      </c>
      <c r="Q6" s="16"/>
    </row>
    <row r="7" spans="1:24" x14ac:dyDescent="0.45">
      <c r="B7" s="5">
        <v>4</v>
      </c>
      <c r="G7" s="5">
        <f>1/$C$4</f>
        <v>2.2831050228310502E-4</v>
      </c>
      <c r="H7" s="5">
        <f>30*24</f>
        <v>720</v>
      </c>
      <c r="I7" s="5">
        <v>1</v>
      </c>
      <c r="J7" s="11">
        <f>G7*H7</f>
        <v>0.16438356164383561</v>
      </c>
      <c r="K7" s="12">
        <v>3</v>
      </c>
      <c r="L7" s="13">
        <f>POWER(G7*H7,K7)*EXP(-G7*H7)/FACT(K7)</f>
        <v>6.2810613251624268E-4</v>
      </c>
      <c r="M7" s="11">
        <f>_xlfn.POISSON.DIST(K7, G7*H7, FALSE)</f>
        <v>6.281061325162429E-4</v>
      </c>
      <c r="N7" s="11">
        <f>1-_xlfn.POISSON.DIST(K7, G7*H7, TRUE)</f>
        <v>2.6685021215611116E-5</v>
      </c>
      <c r="O7" s="15">
        <f>1-N7</f>
        <v>0.99997331497878439</v>
      </c>
      <c r="P7" s="16">
        <f>O7*$F$4</f>
        <v>0.98913349584622312</v>
      </c>
      <c r="Q7" s="16"/>
    </row>
    <row r="9" spans="1:24" ht="18" x14ac:dyDescent="0.45">
      <c r="A9" s="17" t="s">
        <v>32</v>
      </c>
    </row>
    <row r="10" spans="1:24" ht="65.650000000000006" x14ac:dyDescent="0.45">
      <c r="A10" s="37" t="s">
        <v>33</v>
      </c>
      <c r="B10" s="38"/>
      <c r="C10" s="38"/>
      <c r="D10" s="39"/>
      <c r="E10" s="37" t="s">
        <v>34</v>
      </c>
      <c r="F10" s="38"/>
      <c r="G10" s="39"/>
      <c r="H10" s="40" t="s">
        <v>35</v>
      </c>
      <c r="I10" s="41"/>
      <c r="J10" s="42"/>
      <c r="K10" s="19"/>
      <c r="L10" s="20" t="s">
        <v>36</v>
      </c>
      <c r="M10" s="21"/>
      <c r="N10" s="21"/>
      <c r="O10" s="22" t="s">
        <v>37</v>
      </c>
      <c r="P10" s="21"/>
      <c r="Q10" s="23"/>
      <c r="S10" s="24"/>
      <c r="T10" s="24"/>
      <c r="U10" s="24"/>
      <c r="V10" s="25" t="s">
        <v>38</v>
      </c>
      <c r="W10" s="25"/>
      <c r="X10" s="25"/>
    </row>
    <row r="11" spans="1:24" ht="71.25" x14ac:dyDescent="0.45">
      <c r="A11" s="26" t="s">
        <v>39</v>
      </c>
      <c r="B11" s="26" t="s">
        <v>40</v>
      </c>
      <c r="C11" s="27" t="s">
        <v>41</v>
      </c>
      <c r="D11" s="27" t="s">
        <v>42</v>
      </c>
      <c r="E11" s="27" t="s">
        <v>43</v>
      </c>
      <c r="F11" s="27" t="s">
        <v>44</v>
      </c>
      <c r="G11" s="27" t="s">
        <v>45</v>
      </c>
      <c r="H11" s="27" t="s">
        <v>46</v>
      </c>
      <c r="I11" s="26" t="s">
        <v>47</v>
      </c>
      <c r="J11" s="27" t="s">
        <v>48</v>
      </c>
      <c r="K11" s="4"/>
      <c r="L11" s="27" t="s">
        <v>49</v>
      </c>
      <c r="M11" s="27" t="s">
        <v>50</v>
      </c>
      <c r="N11" s="27" t="s">
        <v>51</v>
      </c>
      <c r="O11" s="27" t="s">
        <v>52</v>
      </c>
      <c r="P11" s="26" t="s">
        <v>53</v>
      </c>
      <c r="Q11" s="27" t="s">
        <v>54</v>
      </c>
      <c r="S11" s="5" t="s">
        <v>55</v>
      </c>
      <c r="T11" s="5" t="s">
        <v>56</v>
      </c>
      <c r="U11" s="5" t="s">
        <v>57</v>
      </c>
      <c r="V11" s="10" t="s">
        <v>58</v>
      </c>
      <c r="W11" s="4" t="s">
        <v>59</v>
      </c>
    </row>
    <row r="12" spans="1:24" x14ac:dyDescent="0.45">
      <c r="A12" s="5">
        <v>0</v>
      </c>
      <c r="B12" s="5">
        <v>0</v>
      </c>
      <c r="C12" s="5">
        <f>B12*0.25</f>
        <v>0</v>
      </c>
      <c r="D12" s="11">
        <f>G4*8760</f>
        <v>2</v>
      </c>
      <c r="E12" s="11">
        <f>N4</f>
        <v>0.15158346057961392</v>
      </c>
      <c r="F12" s="11">
        <f>D12*E12</f>
        <v>0.30316692115922783</v>
      </c>
      <c r="G12" s="5">
        <f>240-48</f>
        <v>192</v>
      </c>
      <c r="H12" s="5">
        <v>5000</v>
      </c>
      <c r="I12" s="28">
        <f>G12*H12</f>
        <v>960000</v>
      </c>
      <c r="J12" s="28">
        <f>F12*I12</f>
        <v>291040.24431285873</v>
      </c>
      <c r="K12" s="28"/>
      <c r="L12" s="5" t="s">
        <v>60</v>
      </c>
      <c r="M12" s="29">
        <f>P5-P4</f>
        <v>0.13795390884884329</v>
      </c>
      <c r="N12" s="30">
        <f>F12-F13</f>
        <v>0.2789314650149215</v>
      </c>
      <c r="O12" s="31">
        <f>(B13+C13)/(N12*G13)</f>
        <v>350.10840385030014</v>
      </c>
      <c r="P12" s="31">
        <f>(H12-O12)*N12*G12</f>
        <v>249024.20641432461</v>
      </c>
      <c r="Q12" s="31">
        <f>P12/G12</f>
        <v>1297.0010750746073</v>
      </c>
      <c r="S12" s="32">
        <v>0.1</v>
      </c>
      <c r="T12" s="5">
        <v>10</v>
      </c>
      <c r="U12" s="28">
        <f>J12*((1-(1+S12)^-T12)/S12)</f>
        <v>1788316.3116410468</v>
      </c>
      <c r="V12" s="33">
        <f>U12-B12</f>
        <v>1788316.3116410468</v>
      </c>
      <c r="W12" s="31">
        <f>(1-(1+S12)^-T12)/S12</f>
        <v>6.1445671057046853</v>
      </c>
    </row>
    <row r="13" spans="1:24" x14ac:dyDescent="0.45">
      <c r="A13" s="5">
        <v>1</v>
      </c>
      <c r="B13" s="5">
        <v>15000</v>
      </c>
      <c r="C13" s="5">
        <f>B13*0.25</f>
        <v>3750</v>
      </c>
      <c r="D13" s="11">
        <f>G5*8760</f>
        <v>2</v>
      </c>
      <c r="E13" s="11">
        <f>N5</f>
        <v>1.2117728072153167E-2</v>
      </c>
      <c r="F13" s="11">
        <f>D13*E13</f>
        <v>2.4235456144306333E-2</v>
      </c>
      <c r="G13" s="5">
        <f>240-48</f>
        <v>192</v>
      </c>
      <c r="H13" s="5">
        <v>5000</v>
      </c>
      <c r="I13" s="28">
        <v>960000</v>
      </c>
      <c r="J13" s="28">
        <f>F13*I13</f>
        <v>23266.037898534079</v>
      </c>
      <c r="K13" s="28"/>
      <c r="L13" s="5" t="s">
        <v>61</v>
      </c>
      <c r="M13" s="29">
        <f>P6-P5</f>
        <v>1.1338677439630906E-2</v>
      </c>
      <c r="N13" s="30"/>
      <c r="P13" s="28"/>
      <c r="S13" s="32">
        <v>0.1</v>
      </c>
      <c r="T13" s="5">
        <v>10</v>
      </c>
      <c r="U13" s="28">
        <f>J13*((1-(1+S13)^-T13)/S13)</f>
        <v>142959.73115141108</v>
      </c>
      <c r="V13" s="33">
        <f>U13-B13</f>
        <v>127959.73115141108</v>
      </c>
      <c r="W13" s="31">
        <f>(1-(1+S13)^-T13)/S13</f>
        <v>6.1445671057046853</v>
      </c>
    </row>
    <row r="14" spans="1:24" x14ac:dyDescent="0.45">
      <c r="L14" s="5" t="s">
        <v>62</v>
      </c>
      <c r="M14" s="29">
        <f>P7-P6</f>
        <v>6.2129739395233585E-4</v>
      </c>
      <c r="N14" s="30"/>
    </row>
  </sheetData>
  <mergeCells count="5">
    <mergeCell ref="A2:E2"/>
    <mergeCell ref="G2:O2"/>
    <mergeCell ref="A10:D10"/>
    <mergeCell ref="E10:G10"/>
    <mergeCell ref="H10:J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02F3C-CB19-46A1-8544-90BD64F83EF2}">
  <sheetPr codeName="Sheet2"/>
  <dimension ref="A1:N16"/>
  <sheetViews>
    <sheetView zoomScale="81" workbookViewId="0">
      <selection activeCell="B16" sqref="B16"/>
    </sheetView>
  </sheetViews>
  <sheetFormatPr defaultRowHeight="14.25" x14ac:dyDescent="0.45"/>
  <cols>
    <col min="8" max="8" width="11.73046875" bestFit="1" customWidth="1"/>
    <col min="9" max="9" width="25.46484375" bestFit="1" customWidth="1"/>
    <col min="10" max="10" width="22.59765625" bestFit="1" customWidth="1"/>
    <col min="11" max="11" width="13.33203125" bestFit="1" customWidth="1"/>
    <col min="12" max="12" width="11.73046875" bestFit="1" customWidth="1"/>
    <col min="13" max="13" width="20.796875" bestFit="1" customWidth="1"/>
    <col min="14" max="14" width="12.265625" bestFit="1" customWidth="1"/>
    <col min="19" max="19" width="10.1328125" bestFit="1" customWidth="1"/>
  </cols>
  <sheetData>
    <row r="1" spans="1:14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70</v>
      </c>
      <c r="H1" t="s">
        <v>63</v>
      </c>
      <c r="I1" t="s">
        <v>66</v>
      </c>
      <c r="J1" t="s">
        <v>64</v>
      </c>
      <c r="K1" t="s">
        <v>65</v>
      </c>
      <c r="L1" t="s">
        <v>67</v>
      </c>
      <c r="M1" t="s">
        <v>68</v>
      </c>
      <c r="N1" t="s">
        <v>69</v>
      </c>
    </row>
    <row r="2" spans="1:14" x14ac:dyDescent="0.45">
      <c r="A2" t="s">
        <v>6</v>
      </c>
      <c r="B2">
        <v>1</v>
      </c>
      <c r="C2">
        <v>4380</v>
      </c>
      <c r="D2">
        <v>48</v>
      </c>
      <c r="E2">
        <v>720</v>
      </c>
      <c r="F2">
        <v>8760</v>
      </c>
      <c r="G2">
        <v>5000</v>
      </c>
      <c r="H2">
        <v>4637.5912656785476</v>
      </c>
      <c r="I2">
        <v>759.42028932631354</v>
      </c>
      <c r="J2">
        <v>41.129740756738443</v>
      </c>
      <c r="K2">
        <v>0.74952927363091182</v>
      </c>
      <c r="L2">
        <v>0.51862333333333333</v>
      </c>
      <c r="M2">
        <v>0.48137666666666673</v>
      </c>
      <c r="N2">
        <v>0.46732141903869667</v>
      </c>
    </row>
    <row r="3" spans="1:14" x14ac:dyDescent="0.45">
      <c r="B3">
        <v>2</v>
      </c>
      <c r="H3">
        <v>4866.9948605982199</v>
      </c>
      <c r="I3">
        <v>349.04768097971493</v>
      </c>
      <c r="J3">
        <v>71.291167528104069</v>
      </c>
      <c r="K3">
        <v>0.81240378454913154</v>
      </c>
      <c r="L3">
        <v>0.75115714285714286</v>
      </c>
      <c r="M3">
        <v>0.24884285714285714</v>
      </c>
      <c r="N3">
        <v>0.70917999701350332</v>
      </c>
    </row>
    <row r="4" spans="1:14" x14ac:dyDescent="0.45">
      <c r="B4">
        <v>3</v>
      </c>
      <c r="H4">
        <v>4860.5134856783807</v>
      </c>
      <c r="I4">
        <v>127.06241507781097</v>
      </c>
      <c r="J4">
        <v>83.90194822783927</v>
      </c>
      <c r="K4">
        <v>0.83019037918193683</v>
      </c>
      <c r="L4">
        <v>0.83077571428571428</v>
      </c>
      <c r="M4">
        <v>0.16922428571428569</v>
      </c>
      <c r="N4">
        <v>0.79952616031729218</v>
      </c>
    </row>
    <row r="5" spans="1:14" x14ac:dyDescent="0.45">
      <c r="B5">
        <v>4</v>
      </c>
      <c r="H5">
        <v>4935.6338475138828</v>
      </c>
      <c r="I5">
        <v>42.761823795951884</v>
      </c>
      <c r="J5">
        <v>92.109806786821778</v>
      </c>
      <c r="K5">
        <v>0.83794856283894259</v>
      </c>
      <c r="L5">
        <v>0.85333619047619036</v>
      </c>
      <c r="M5">
        <v>0.14666380952380956</v>
      </c>
      <c r="N5">
        <v>0.8293356772885967</v>
      </c>
    </row>
    <row r="6" spans="1:14" x14ac:dyDescent="0.45">
      <c r="B6">
        <v>5</v>
      </c>
      <c r="H6">
        <v>4831.71832224026</v>
      </c>
      <c r="I6">
        <v>14.247961668101146</v>
      </c>
      <c r="J6">
        <v>94.139204132014612</v>
      </c>
      <c r="K6">
        <v>0.83864837025615524</v>
      </c>
      <c r="L6">
        <v>0.85908214285714279</v>
      </c>
      <c r="M6">
        <v>0.14091785714285712</v>
      </c>
      <c r="N6">
        <v>0.83617095211884318</v>
      </c>
    </row>
    <row r="7" spans="1:14" x14ac:dyDescent="0.45">
      <c r="B7">
        <v>6</v>
      </c>
      <c r="H7">
        <v>4907.6050584464192</v>
      </c>
      <c r="I7">
        <v>3.495543433844424</v>
      </c>
      <c r="J7">
        <v>93.143308591675009</v>
      </c>
      <c r="K7">
        <v>0.83904882364289513</v>
      </c>
      <c r="L7">
        <v>0.85937857142857133</v>
      </c>
      <c r="M7">
        <v>0.14062142857142859</v>
      </c>
      <c r="N7">
        <v>0.83852951810483389</v>
      </c>
    </row>
    <row r="8" spans="1:14" x14ac:dyDescent="0.45">
      <c r="B8">
        <v>7</v>
      </c>
      <c r="H8">
        <v>4937.65663356612</v>
      </c>
      <c r="I8">
        <v>0.89992901637463552</v>
      </c>
      <c r="J8">
        <v>93.012545304565066</v>
      </c>
      <c r="K8">
        <v>0.84023820259678028</v>
      </c>
      <c r="L8">
        <v>0.86065000000000003</v>
      </c>
      <c r="M8">
        <v>0.13935</v>
      </c>
      <c r="N8">
        <v>0.84010644460145778</v>
      </c>
    </row>
    <row r="9" spans="1:14" x14ac:dyDescent="0.45">
      <c r="B9">
        <v>8</v>
      </c>
      <c r="H9">
        <v>4902.8262156694736</v>
      </c>
      <c r="I9">
        <v>0.3028475421308589</v>
      </c>
      <c r="J9">
        <v>94.701734289870132</v>
      </c>
      <c r="K9">
        <v>0.84161086051569434</v>
      </c>
      <c r="L9">
        <v>0.86295555555555548</v>
      </c>
      <c r="M9">
        <v>0.13704444444444444</v>
      </c>
      <c r="N9">
        <v>0.84157085171274926</v>
      </c>
    </row>
    <row r="10" spans="1:14" x14ac:dyDescent="0.45">
      <c r="B10">
        <v>9</v>
      </c>
      <c r="H10">
        <v>4918.6163441621629</v>
      </c>
      <c r="I10">
        <v>0.16734728945963556</v>
      </c>
      <c r="J10">
        <v>95.758467535618081</v>
      </c>
      <c r="K10">
        <v>0.84274216255510059</v>
      </c>
      <c r="L10">
        <v>0.86497999999999997</v>
      </c>
      <c r="M10">
        <v>0.13502</v>
      </c>
      <c r="N10">
        <v>0.84272513020745721</v>
      </c>
    </row>
    <row r="11" spans="1:14" x14ac:dyDescent="0.45">
      <c r="B11">
        <v>10</v>
      </c>
      <c r="H11">
        <v>4964.547282009692</v>
      </c>
      <c r="I11">
        <v>0.14493957613539399</v>
      </c>
      <c r="J11">
        <v>94.855752593295236</v>
      </c>
      <c r="K11">
        <v>0.84945080026082287</v>
      </c>
      <c r="L11">
        <v>0.87118181818181817</v>
      </c>
      <c r="M11">
        <v>0.12881818181818183</v>
      </c>
      <c r="N11">
        <v>0.84943518269318252</v>
      </c>
    </row>
    <row r="12" spans="1:14" x14ac:dyDescent="0.45">
      <c r="B12">
        <v>11</v>
      </c>
      <c r="H12">
        <v>4940.2182714239707</v>
      </c>
      <c r="I12">
        <v>0</v>
      </c>
      <c r="J12">
        <v>94.203855306979094</v>
      </c>
      <c r="K12">
        <v>0.83964694415868302</v>
      </c>
      <c r="L12">
        <v>0.86</v>
      </c>
      <c r="M12">
        <v>0.14000000000000001</v>
      </c>
      <c r="N12">
        <v>0.83964694415868302</v>
      </c>
    </row>
    <row r="13" spans="1:14" x14ac:dyDescent="0.45">
      <c r="B13">
        <v>12</v>
      </c>
      <c r="H13">
        <v>4907.6364210319935</v>
      </c>
      <c r="I13">
        <v>0</v>
      </c>
      <c r="J13">
        <v>94.481076217577908</v>
      </c>
      <c r="K13">
        <v>0.84178453351974913</v>
      </c>
      <c r="L13">
        <v>0.86319999999999997</v>
      </c>
      <c r="M13">
        <v>0.1368</v>
      </c>
      <c r="N13">
        <v>0.84178453351974913</v>
      </c>
    </row>
    <row r="14" spans="1:14" x14ac:dyDescent="0.45">
      <c r="B14">
        <v>13</v>
      </c>
      <c r="H14">
        <v>4902.8964714500189</v>
      </c>
      <c r="I14">
        <v>0</v>
      </c>
      <c r="J14">
        <v>95.918604540297522</v>
      </c>
      <c r="K14">
        <v>0.84066279581983505</v>
      </c>
      <c r="L14">
        <v>0.86199999999999999</v>
      </c>
      <c r="M14">
        <v>0.13800000000000001</v>
      </c>
      <c r="N14">
        <v>0.84066279581983505</v>
      </c>
    </row>
    <row r="15" spans="1:14" x14ac:dyDescent="0.45">
      <c r="B15">
        <v>14</v>
      </c>
      <c r="H15">
        <v>4851.4298717424808</v>
      </c>
      <c r="I15">
        <v>0</v>
      </c>
      <c r="J15">
        <v>95.214499460972931</v>
      </c>
      <c r="K15">
        <v>0.83907813482526072</v>
      </c>
      <c r="L15">
        <v>0.86080000000000001</v>
      </c>
      <c r="M15">
        <v>0.13919999999999999</v>
      </c>
      <c r="N15">
        <v>0.83907813482526072</v>
      </c>
    </row>
    <row r="16" spans="1:14" x14ac:dyDescent="0.45">
      <c r="B16">
        <v>15</v>
      </c>
      <c r="H16">
        <v>4940.9612737164925</v>
      </c>
      <c r="I16">
        <v>0</v>
      </c>
      <c r="J16">
        <v>94.164490756474848</v>
      </c>
      <c r="K16">
        <v>0.84720472125284418</v>
      </c>
      <c r="L16">
        <v>0.86799999999999999</v>
      </c>
      <c r="M16">
        <v>0.13200000000000001</v>
      </c>
      <c r="N16">
        <v>0.84720472125284418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RBS">
                <anchor mov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14</xdr:col>
                    <xdr:colOff>519113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0355-842A-4213-9EA9-10BE46B36181}">
  <sheetPr codeName="Sheet3"/>
  <dimension ref="A1"/>
  <sheetViews>
    <sheetView tabSelected="1" zoomScale="86" zoomScaleNormal="100" workbookViewId="0"/>
  </sheetViews>
  <sheetFormatPr defaultRowHeight="14.25" x14ac:dyDescent="0.4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 (2)</vt:lpstr>
      <vt:lpstr>RBS_Simulation</vt:lpstr>
      <vt:lpstr>Visualisation</vt:lpstr>
    </vt:vector>
  </TitlesOfParts>
  <Manager/>
  <Company>Company IT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Tok, Kiat-Siong</dc:creator>
  <cp:keywords/>
  <dc:description/>
  <cp:lastModifiedBy>Shaun Teo Ji Wu</cp:lastModifiedBy>
  <cp:revision/>
  <dcterms:created xsi:type="dcterms:W3CDTF">2026-01-12T02:17:06Z</dcterms:created>
  <dcterms:modified xsi:type="dcterms:W3CDTF">2026-01-30T07:48:19Z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2026-01-12T02:17:25Z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79f8d850-f3c1-48fc-aa1c-dae98c3f1488</vt:lpwstr>
  </property>
  <property fmtid="{D5CDD505-2E9C-101B-9397-08002B2CF9AE}" pid="7" name="MSIP_Label_defa4170-0d19-0005-0004-bc88714345d2_ActionId">
    <vt:lpwstr>8661dfb5-1611-420b-aca0-de562f3fd9ea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