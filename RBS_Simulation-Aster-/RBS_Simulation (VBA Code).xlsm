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usu-my.sharepoint.com/personal/e1122744_u_nus_edu/Documents/Documents/Y3S2/EG3611A/Aster/RBS_Simulation/RBS_Simulation-Aster-/"/>
    </mc:Choice>
  </mc:AlternateContent>
  <xr:revisionPtr revIDLastSave="94" documentId="8_{19159F13-A46B-4CB0-A314-85FBCBBFCFBC}" xr6:coauthVersionLast="47" xr6:coauthVersionMax="47" xr10:uidLastSave="{D832EDAE-A907-4057-8B40-33B7770A4932}"/>
  <bookViews>
    <workbookView xWindow="-98" yWindow="-98" windowWidth="21795" windowHeight="12975" xr2:uid="{17BA9F62-9710-4CF9-92E1-2469E5FE3B54}"/>
  </bookViews>
  <sheets>
    <sheet name="RBS_Simulation" sheetId="2" r:id="rId1"/>
    <sheet name="Sheet4 (2)" sheetId="1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W13" i="1"/>
  <c r="G13" i="1"/>
  <c r="C13" i="1"/>
  <c r="W12" i="1"/>
  <c r="G12" i="1"/>
  <c r="I12" i="1" s="1"/>
  <c r="C12" i="1"/>
  <c r="H7" i="1"/>
  <c r="G7" i="1"/>
  <c r="M7" i="1" s="1"/>
  <c r="N6" i="1"/>
  <c r="O6" i="1" s="1"/>
  <c r="P6" i="1" s="1"/>
  <c r="M6" i="1"/>
  <c r="L6" i="1"/>
  <c r="J6" i="1"/>
  <c r="H6" i="1"/>
  <c r="G6" i="1"/>
  <c r="H5" i="1"/>
  <c r="G5" i="1"/>
  <c r="M5" i="1" s="1"/>
  <c r="H4" i="1"/>
  <c r="G4" i="1"/>
  <c r="M4" i="1" s="1"/>
  <c r="F4" i="1"/>
  <c r="J4" i="1" l="1"/>
  <c r="L4" i="1"/>
  <c r="N7" i="1"/>
  <c r="O7" i="1" s="1"/>
  <c r="P7" i="1" s="1"/>
  <c r="M14" i="1" s="1"/>
  <c r="J5" i="1"/>
  <c r="N4" i="1"/>
  <c r="J7" i="1"/>
  <c r="L7" i="1"/>
  <c r="N5" i="1"/>
  <c r="D12" i="1"/>
  <c r="L5" i="1"/>
  <c r="O5" i="1" l="1"/>
  <c r="P5" i="1" s="1"/>
  <c r="E13" i="1"/>
  <c r="F13" i="1" s="1"/>
  <c r="J13" i="1" s="1"/>
  <c r="U13" i="1" s="1"/>
  <c r="V13" i="1" s="1"/>
  <c r="E12" i="1"/>
  <c r="F12" i="1" s="1"/>
  <c r="O4" i="1"/>
  <c r="P4" i="1" s="1"/>
  <c r="J12" i="1" l="1"/>
  <c r="U12" i="1" s="1"/>
  <c r="V12" i="1" s="1"/>
  <c r="N12" i="1"/>
  <c r="O12" i="1" s="1"/>
  <c r="P12" i="1" s="1"/>
  <c r="Q12" i="1" s="1"/>
  <c r="M12" i="1"/>
  <c r="M13" i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<sst xmlns="http://schemas.openxmlformats.org/spreadsheetml/2006/main" count="70" uniqueCount="68">
  <si>
    <t>Equipment</t>
  </si>
  <si>
    <t>Initial Quantity of Spare parts</t>
  </si>
  <si>
    <t>MBTF</t>
  </si>
  <si>
    <t>MTTR</t>
  </si>
  <si>
    <t>Lead time</t>
  </si>
  <si>
    <t>Simulation Time</t>
  </si>
  <si>
    <t>Pump</t>
  </si>
  <si>
    <t>Fill Rate = Probability of having a spare available when a failure occurs (Case for stock =1)</t>
  </si>
  <si>
    <t>Probability of requiring more than s (e,g,1) spare (i.e. 2 or more failures) during lead time (stockout probability)</t>
  </si>
  <si>
    <t>eg. P(2 or more demand) =1-[p(0)+P(1)]</t>
  </si>
  <si>
    <t>Probability of not having a stock out</t>
  </si>
  <si>
    <t>Interpretation: with 1 spare, there is 99.78% probability that at any given time, the colling water pump will be operational and, should it fails, the nexcessary mechnanical seal will be in stock to repair it immediately</t>
  </si>
  <si>
    <t>Data Setup</t>
  </si>
  <si>
    <t>Step 1</t>
  </si>
  <si>
    <t>Step 2 Fill rate</t>
  </si>
  <si>
    <t>Step 3 Calculate System readiness (R)</t>
  </si>
  <si>
    <t>Qty</t>
  </si>
  <si>
    <t>MTBF (hrs)</t>
  </si>
  <si>
    <t>MTTR(hrs)</t>
  </si>
  <si>
    <t>Critical Spare</t>
  </si>
  <si>
    <t>Availability (when spare available)</t>
  </si>
  <si>
    <t>Failure rate (λ) of the seal (on the pump)=1/ MTBF</t>
  </si>
  <si>
    <t>Spare lead time, L(hrs)</t>
  </si>
  <si>
    <t>No of stock (s)</t>
  </si>
  <si>
    <t>Expected number of demands during lead time, λL</t>
  </si>
  <si>
    <t>Demand,k</t>
  </si>
  <si>
    <t>Probability of demand P(k)=(λL)^k*e^(-λL)/k!</t>
  </si>
  <si>
    <t>P(demand) possion formula</t>
  </si>
  <si>
    <t>P(stockout per demand) where p(K&gt;s)=1-P(k&lt;=s)</t>
  </si>
  <si>
    <t>Fill rate (FR) = 1 - P(stockout)</t>
  </si>
  <si>
    <t>Readiness = FRxA 
(consider it also as readiness if stock = demand)</t>
  </si>
  <si>
    <t>Seal</t>
  </si>
  <si>
    <t>Economics Impact calculation</t>
  </si>
  <si>
    <t>Step 1 Calculate the annualised risk of a stock out event: Pumps fail and we have no spare to reapir it</t>
  </si>
  <si>
    <t>Step 2 Calculate the Cost consequences of a single Stock out event</t>
  </si>
  <si>
    <t>Step 3 calculate the annualised epexcted monetary loss</t>
  </si>
  <si>
    <t>Justification using break even Cost approach</t>
  </si>
  <si>
    <t>Annual Value of downtime avioded= Stockouts avoided x hours per stockoutx cost per hours</t>
  </si>
  <si>
    <t>Break even downtime cost</t>
  </si>
  <si>
    <t>No of stock</t>
  </si>
  <si>
    <t>Cost of spare</t>
  </si>
  <si>
    <t>holding cost (25% annually)</t>
  </si>
  <si>
    <t>Annual Pump Failure rate: Failure / year</t>
  </si>
  <si>
    <t xml:space="preserve">P(stockout per demand) </t>
  </si>
  <si>
    <t>Annual Probability of stock out event</t>
  </si>
  <si>
    <t>additional Downtime per stock out event</t>
  </si>
  <si>
    <t>Production margin loss / hour</t>
  </si>
  <si>
    <t>Total Loss/ event</t>
  </si>
  <si>
    <t>Annualised expected Loss due to not stocking the parts, $/year</t>
  </si>
  <si>
    <t>Delta in spare from (higher to lower)</t>
  </si>
  <si>
    <t>Overall drop in system Avilability Risk of spare shortage</t>
  </si>
  <si>
    <t>Reduction in Stock out events</t>
  </si>
  <si>
    <t>Break event cost per event</t>
  </si>
  <si>
    <t>Benefits</t>
  </si>
  <si>
    <t>Houly downtime cost</t>
  </si>
  <si>
    <t>discount rate</t>
  </si>
  <si>
    <t>Asset Life, Years</t>
  </si>
  <si>
    <t>NPV</t>
  </si>
  <si>
    <t>Economic value of buying spare= Risk - cost</t>
  </si>
  <si>
    <t>PV annuity factor</t>
  </si>
  <si>
    <t>1-&gt;0</t>
  </si>
  <si>
    <t>2-&gt;1</t>
  </si>
  <si>
    <t>3-&gt;2</t>
  </si>
  <si>
    <t>Avg Uptime</t>
  </si>
  <si>
    <t>Avg Downtime with Spares</t>
  </si>
  <si>
    <t>Avg Availability</t>
  </si>
  <si>
    <t>Number of Simulations</t>
  </si>
  <si>
    <t>Avg Downtime without Spares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</si>
</sst>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0"/>
    <numFmt numFmtId="166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2" borderId="0" xfId="0" applyNumberFormat="1" applyFill="1" applyAlignment="1">
      <alignment vertical="center"/>
    </xf>
    <xf numFmtId="10" fontId="1" fillId="0" borderId="0" xfId="2" applyNumberFormat="1" applyFont="1" applyAlignment="1">
      <alignment vertical="center"/>
    </xf>
    <xf numFmtId="166" fontId="1" fillId="0" borderId="0" xfId="2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5" fillId="2" borderId="2" xfId="0" applyFont="1" applyFill="1" applyBorder="1" applyAlignment="1">
      <alignment horizontal="left" vertical="center" wrapText="1"/>
    </xf>
    <xf numFmtId="0" fontId="0" fillId="2" borderId="3" xfId="0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164" fontId="1" fillId="0" borderId="0" xfId="1" applyFont="1" applyAlignment="1">
      <alignment vertical="center"/>
    </xf>
    <xf numFmtId="10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left" vertical="center" wrapText="1"/>
    </xf>
    <xf numFmtId="0" fontId="2" fillId="2" borderId="3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161925</xdr:rowOff>
        </xdr:from>
        <xdr:to>
          <xdr:col>14</xdr:col>
          <xdr:colOff>519113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5</xdr:row>
      <xdr:rowOff>0</xdr:rowOff>
    </xdr:from>
    <xdr:to>
      <xdr:col>20</xdr:col>
      <xdr:colOff>444500</xdr:colOff>
      <xdr:row>10</xdr:row>
      <xdr:rowOff>111125</xdr:rowOff>
    </xdr:to>
    <xdr:pic>
      <xdr:nvPicPr>
        <xdr:cNvPr id="3" name="Gantt_Qty1.0">
          <a:extLst>
            <a:ext uri="{FF2B5EF4-FFF2-40B4-BE49-F238E27FC236}">
              <a16:creationId xmlns:a16="http://schemas.microsoft.com/office/drawing/2014/main" id="{59187BA1-20B5-3896-0F1D-D06D44894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90487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20</xdr:col>
      <xdr:colOff>444500</xdr:colOff>
      <xdr:row>16</xdr:row>
      <xdr:rowOff>111125</xdr:rowOff>
    </xdr:to>
    <xdr:pic>
      <xdr:nvPicPr>
        <xdr:cNvPr id="5" name="Gantt_Qty2.0">
          <a:extLst>
            <a:ext uri="{FF2B5EF4-FFF2-40B4-BE49-F238E27FC236}">
              <a16:creationId xmlns:a16="http://schemas.microsoft.com/office/drawing/2014/main" id="{F097D32C-5C3B-B3AF-2285-469B33B99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199072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17</xdr:row>
      <xdr:rowOff>0</xdr:rowOff>
    </xdr:from>
    <xdr:to>
      <xdr:col>20</xdr:col>
      <xdr:colOff>444500</xdr:colOff>
      <xdr:row>22</xdr:row>
      <xdr:rowOff>111125</xdr:rowOff>
    </xdr:to>
    <xdr:pic>
      <xdr:nvPicPr>
        <xdr:cNvPr id="7" name="Gantt_Qty3.0">
          <a:extLst>
            <a:ext uri="{FF2B5EF4-FFF2-40B4-BE49-F238E27FC236}">
              <a16:creationId xmlns:a16="http://schemas.microsoft.com/office/drawing/2014/main" id="{B19324B8-1A07-39F3-B8E3-72F81FDC5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3076575"/>
          <a:ext cx="6350000" cy="1016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23</xdr:row>
      <xdr:rowOff>0</xdr:rowOff>
    </xdr:from>
    <xdr:to>
      <xdr:col>20</xdr:col>
      <xdr:colOff>444500</xdr:colOff>
      <xdr:row>28</xdr:row>
      <xdr:rowOff>111125</xdr:rowOff>
    </xdr:to>
    <xdr:pic>
      <xdr:nvPicPr>
        <xdr:cNvPr id="9" name="Gantt_Qty4.0">
          <a:extLst>
            <a:ext uri="{FF2B5EF4-FFF2-40B4-BE49-F238E27FC236}">
              <a16:creationId xmlns:a16="http://schemas.microsoft.com/office/drawing/2014/main" id="{7D1AF846-E47A-6671-C86A-B66FEDC35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4162425"/>
          <a:ext cx="6350000" cy="1016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02F3C-CB19-46A1-8544-90BD64F83EF2}">
  <sheetPr codeName="Sheet2"/>
  <dimension ref="A1:K5"/>
  <sheetViews>
    <sheetView tabSelected="1" topLeftCell="B1" zoomScale="93" workbookViewId="0">
      <selection activeCell="G2" sqref="G2"/>
    </sheetView>
  </sheetViews>
  <sheetFormatPr defaultRowHeight="14.25" x14ac:dyDescent="0.45"/>
  <cols>
    <col min="19" max="19" width="10.1328125" bestFit="1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66</v>
      </c>
      <c r="H1" t="s">
        <v>63</v>
      </c>
      <c r="I1" t="s">
        <v>67</v>
      </c>
      <c r="J1" t="s">
        <v>64</v>
      </c>
      <c r="K1" t="s">
        <v>65</v>
      </c>
    </row>
    <row r="2" spans="1:11" x14ac:dyDescent="0.45">
      <c r="A2" t="s">
        <v>6</v>
      </c>
      <c r="B2">
        <v>1</v>
      </c>
      <c r="C2">
        <v>4380</v>
      </c>
      <c r="D2">
        <v>48</v>
      </c>
      <c r="E2">
        <v>720</v>
      </c>
      <c r="F2">
        <v>8760</v>
      </c>
      <c r="G2">
        <v>4000</v>
      </c>
      <c r="H2">
        <v>4725.3824780076811</v>
      </c>
      <c r="I2">
        <v>760.01407384254196</v>
      </c>
      <c r="J2">
        <v>41.997845272463152</v>
      </c>
      <c r="K2">
        <v>0.74974668732694305</v>
      </c>
    </row>
    <row r="3" spans="1:11" x14ac:dyDescent="0.45">
      <c r="B3">
        <v>2</v>
      </c>
      <c r="H3">
        <v>4834.2818364976292</v>
      </c>
      <c r="I3">
        <v>344.8293486144496</v>
      </c>
      <c r="J3">
        <v>69.607139621517575</v>
      </c>
      <c r="K3">
        <v>0.80041485191850548</v>
      </c>
    </row>
    <row r="4" spans="1:11" x14ac:dyDescent="0.45">
      <c r="B4">
        <v>3</v>
      </c>
      <c r="H4">
        <v>4945.8997774192985</v>
      </c>
      <c r="I4">
        <v>146.38296470679151</v>
      </c>
      <c r="J4">
        <v>86.652448731331503</v>
      </c>
      <c r="K4">
        <v>0.83187872802322471</v>
      </c>
    </row>
    <row r="5" spans="1:11" x14ac:dyDescent="0.45">
      <c r="B5">
        <v>4</v>
      </c>
      <c r="H5">
        <v>4932.6584190491049</v>
      </c>
      <c r="I5">
        <v>52.712215819125426</v>
      </c>
      <c r="J5">
        <v>91.645926179337991</v>
      </c>
      <c r="K5">
        <v>0.84141964437913908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rbs">
                <anchor mov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14</xdr:col>
                    <xdr:colOff>519113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3842A-B6E1-4614-A3E5-4D4D6040C816}">
  <sheetPr codeName="Sheet1"/>
  <dimension ref="A1:X14"/>
  <sheetViews>
    <sheetView zoomScale="79" workbookViewId="0">
      <selection activeCell="S24" sqref="S24"/>
    </sheetView>
  </sheetViews>
  <sheetFormatPr defaultColWidth="8.86328125" defaultRowHeight="14.25" x14ac:dyDescent="0.45"/>
  <cols>
    <col min="1" max="1" width="12.86328125" style="5" customWidth="1"/>
    <col min="2" max="3" width="14.3984375" style="5" customWidth="1"/>
    <col min="4" max="4" width="15.59765625" style="5" customWidth="1"/>
    <col min="5" max="5" width="16.1328125" style="5" customWidth="1"/>
    <col min="6" max="6" width="16" style="5" customWidth="1"/>
    <col min="7" max="7" width="19.3984375" style="5" customWidth="1"/>
    <col min="8" max="8" width="16.1328125" style="5" customWidth="1"/>
    <col min="9" max="9" width="13.86328125" style="5" customWidth="1"/>
    <col min="10" max="10" width="14.86328125" style="5" customWidth="1"/>
    <col min="11" max="11" width="18.3984375" style="5" customWidth="1"/>
    <col min="12" max="12" width="22.3984375" style="18" customWidth="1"/>
    <col min="13" max="13" width="16.59765625" style="5" customWidth="1"/>
    <col min="14" max="14" width="16.265625" style="5" customWidth="1"/>
    <col min="15" max="15" width="15.86328125" style="5" customWidth="1"/>
    <col min="16" max="16" width="31.73046875" style="5" customWidth="1"/>
    <col min="17" max="18" width="12.1328125" style="5" customWidth="1"/>
    <col min="19" max="19" width="11.59765625" style="5" customWidth="1"/>
    <col min="20" max="20" width="18.86328125" style="5" customWidth="1"/>
    <col min="21" max="22" width="16.73046875" style="5" customWidth="1"/>
    <col min="23" max="16384" width="8.86328125" style="5"/>
  </cols>
  <sheetData>
    <row r="1" spans="1:24" ht="58.15" x14ac:dyDescent="0.45">
      <c r="A1" s="1"/>
      <c r="B1" s="1"/>
      <c r="C1" s="1"/>
      <c r="D1" s="1"/>
      <c r="E1" s="1"/>
      <c r="F1" s="1"/>
      <c r="G1" s="1" t="s">
        <v>7</v>
      </c>
      <c r="H1" s="1"/>
      <c r="I1" s="1"/>
      <c r="J1" s="1"/>
      <c r="K1" s="1"/>
      <c r="L1" s="2" t="s">
        <v>8</v>
      </c>
      <c r="M1" s="1"/>
      <c r="N1" s="3" t="s">
        <v>9</v>
      </c>
      <c r="O1" s="3" t="s">
        <v>10</v>
      </c>
      <c r="P1" s="3" t="s">
        <v>11</v>
      </c>
      <c r="Q1" s="4"/>
    </row>
    <row r="2" spans="1:24" x14ac:dyDescent="0.45">
      <c r="A2" s="34" t="s">
        <v>12</v>
      </c>
      <c r="B2" s="35"/>
      <c r="C2" s="35"/>
      <c r="D2" s="35"/>
      <c r="E2" s="36"/>
      <c r="F2" s="6" t="s">
        <v>13</v>
      </c>
      <c r="G2" s="34" t="s">
        <v>14</v>
      </c>
      <c r="H2" s="35"/>
      <c r="I2" s="35"/>
      <c r="J2" s="35"/>
      <c r="K2" s="35"/>
      <c r="L2" s="35"/>
      <c r="M2" s="35"/>
      <c r="N2" s="35"/>
      <c r="O2" s="36"/>
      <c r="P2" s="7" t="s">
        <v>15</v>
      </c>
      <c r="Q2" s="4"/>
    </row>
    <row r="3" spans="1:24" s="4" customFormat="1" ht="57" x14ac:dyDescent="0.45">
      <c r="A3" s="8" t="s">
        <v>0</v>
      </c>
      <c r="B3" s="8" t="s">
        <v>16</v>
      </c>
      <c r="C3" s="8" t="s">
        <v>17</v>
      </c>
      <c r="D3" s="8" t="s">
        <v>18</v>
      </c>
      <c r="E3" s="8" t="s">
        <v>19</v>
      </c>
      <c r="F3" s="8" t="s">
        <v>20</v>
      </c>
      <c r="G3" s="8" t="s">
        <v>21</v>
      </c>
      <c r="H3" s="8" t="s">
        <v>22</v>
      </c>
      <c r="I3" s="8" t="s">
        <v>23</v>
      </c>
      <c r="J3" s="8" t="s">
        <v>24</v>
      </c>
      <c r="K3" s="8" t="s">
        <v>25</v>
      </c>
      <c r="L3" s="9" t="s">
        <v>26</v>
      </c>
      <c r="M3" s="8" t="s">
        <v>27</v>
      </c>
      <c r="N3" s="8" t="s">
        <v>28</v>
      </c>
      <c r="O3" s="8" t="s">
        <v>29</v>
      </c>
      <c r="P3" s="9" t="s">
        <v>30</v>
      </c>
      <c r="Q3" s="10"/>
    </row>
    <row r="4" spans="1:24" x14ac:dyDescent="0.45">
      <c r="A4" s="5" t="s">
        <v>6</v>
      </c>
      <c r="B4" s="5">
        <v>1</v>
      </c>
      <c r="C4" s="5">
        <v>4380</v>
      </c>
      <c r="D4" s="5">
        <v>48</v>
      </c>
      <c r="E4" s="5" t="s">
        <v>31</v>
      </c>
      <c r="F4" s="11">
        <f>C4/(C4+D4)</f>
        <v>0.98915989159891604</v>
      </c>
      <c r="G4" s="5">
        <f>1/$C$4</f>
        <v>2.2831050228310502E-4</v>
      </c>
      <c r="H4" s="5">
        <f>30*24</f>
        <v>720</v>
      </c>
      <c r="I4" s="5">
        <v>1</v>
      </c>
      <c r="J4" s="11">
        <f>G4*H4</f>
        <v>0.16438356164383561</v>
      </c>
      <c r="K4" s="12">
        <v>0</v>
      </c>
      <c r="L4" s="13">
        <f>POWER(G4*H4,K4)*EXP(-G4*H4)/FACT(K4)</f>
        <v>0.84841653942038608</v>
      </c>
      <c r="M4" s="14">
        <f>_xlfn.POISSON.DIST(K4, G4*H4, FALSE)</f>
        <v>0.84841653942038608</v>
      </c>
      <c r="N4" s="11">
        <f>1-_xlfn.POISSON.DIST(K4, G4*H4, TRUE)</f>
        <v>0.15158346057961392</v>
      </c>
      <c r="O4" s="15">
        <f>1-N4</f>
        <v>0.84841653942038608</v>
      </c>
      <c r="P4" s="16">
        <f>O4*$F$4</f>
        <v>0.83921961216379659</v>
      </c>
      <c r="Q4" s="16"/>
    </row>
    <row r="5" spans="1:24" x14ac:dyDescent="0.45">
      <c r="G5" s="5">
        <f>1/$C$4</f>
        <v>2.2831050228310502E-4</v>
      </c>
      <c r="H5" s="5">
        <f>30*24</f>
        <v>720</v>
      </c>
      <c r="I5" s="5">
        <v>1</v>
      </c>
      <c r="J5" s="11">
        <f>G5*H5</f>
        <v>0.16438356164383561</v>
      </c>
      <c r="K5" s="12">
        <v>1</v>
      </c>
      <c r="L5" s="13">
        <f>POWER(G5*H5,K5)*EXP(-G5*H5)/FACT(K5)</f>
        <v>0.13946573250746072</v>
      </c>
      <c r="M5" s="11">
        <f>_xlfn.POISSON.DIST(K5, G5*H5, FALSE)</f>
        <v>0.13946573250746072</v>
      </c>
      <c r="N5" s="11">
        <f>1-_xlfn.POISSON.DIST(K5, G5*H5, TRUE)</f>
        <v>1.2117728072153167E-2</v>
      </c>
      <c r="O5" s="15">
        <f>1-N5</f>
        <v>0.98788227192784683</v>
      </c>
      <c r="P5" s="16">
        <f>O5*$F$4</f>
        <v>0.97717352101263988</v>
      </c>
      <c r="Q5" s="16"/>
    </row>
    <row r="6" spans="1:24" x14ac:dyDescent="0.45">
      <c r="G6" s="5">
        <f>1/$C$4</f>
        <v>2.2831050228310502E-4</v>
      </c>
      <c r="H6" s="5">
        <f>30*24</f>
        <v>720</v>
      </c>
      <c r="I6" s="5">
        <v>1</v>
      </c>
      <c r="J6" s="11">
        <f>G6*H6</f>
        <v>0.16438356164383561</v>
      </c>
      <c r="K6" s="12">
        <v>2</v>
      </c>
      <c r="L6" s="13">
        <f>POWER(G6*H6,K6)*EXP(-G6*H6)/FACT(K6)</f>
        <v>1.1462936918421427E-2</v>
      </c>
      <c r="M6" s="11">
        <f>_xlfn.POISSON.DIST(K6, G6*H6, FALSE)</f>
        <v>1.1462936918421427E-2</v>
      </c>
      <c r="N6" s="11">
        <f>1-_xlfn.POISSON.DIST(K6, G6*H6, TRUE)</f>
        <v>6.5479115373179297E-4</v>
      </c>
      <c r="O6" s="15">
        <f>1-N6</f>
        <v>0.99934520884626821</v>
      </c>
      <c r="P6" s="16">
        <f>O6*$F$4</f>
        <v>0.98851219845227078</v>
      </c>
      <c r="Q6" s="16"/>
    </row>
    <row r="7" spans="1:24" x14ac:dyDescent="0.45">
      <c r="G7" s="5">
        <f>1/$C$4</f>
        <v>2.2831050228310502E-4</v>
      </c>
      <c r="H7" s="5">
        <f>30*24</f>
        <v>720</v>
      </c>
      <c r="I7" s="5">
        <v>1</v>
      </c>
      <c r="J7" s="11">
        <f>G7*H7</f>
        <v>0.16438356164383561</v>
      </c>
      <c r="K7" s="12">
        <v>3</v>
      </c>
      <c r="L7" s="13">
        <f>POWER(G7*H7,K7)*EXP(-G7*H7)/FACT(K7)</f>
        <v>6.2810613251624268E-4</v>
      </c>
      <c r="M7" s="11">
        <f>_xlfn.POISSON.DIST(K7, G7*H7, FALSE)</f>
        <v>6.281061325162429E-4</v>
      </c>
      <c r="N7" s="11">
        <f>1-_xlfn.POISSON.DIST(K7, G7*H7, TRUE)</f>
        <v>2.6685021215611116E-5</v>
      </c>
      <c r="O7" s="15">
        <f>1-N7</f>
        <v>0.99997331497878439</v>
      </c>
      <c r="P7" s="16">
        <f>O7*$F$4</f>
        <v>0.98913349584622312</v>
      </c>
      <c r="Q7" s="16"/>
    </row>
    <row r="9" spans="1:24" ht="18" x14ac:dyDescent="0.45">
      <c r="A9" s="17" t="s">
        <v>32</v>
      </c>
    </row>
    <row r="10" spans="1:24" ht="65.650000000000006" x14ac:dyDescent="0.45">
      <c r="A10" s="37" t="s">
        <v>33</v>
      </c>
      <c r="B10" s="38"/>
      <c r="C10" s="38"/>
      <c r="D10" s="39"/>
      <c r="E10" s="37" t="s">
        <v>34</v>
      </c>
      <c r="F10" s="38"/>
      <c r="G10" s="39"/>
      <c r="H10" s="40" t="s">
        <v>35</v>
      </c>
      <c r="I10" s="41"/>
      <c r="J10" s="42"/>
      <c r="K10" s="19"/>
      <c r="L10" s="20" t="s">
        <v>36</v>
      </c>
      <c r="M10" s="21"/>
      <c r="N10" s="21"/>
      <c r="O10" s="22" t="s">
        <v>37</v>
      </c>
      <c r="P10" s="21"/>
      <c r="Q10" s="23"/>
      <c r="S10" s="24"/>
      <c r="T10" s="24"/>
      <c r="U10" s="24"/>
      <c r="V10" s="25" t="s">
        <v>38</v>
      </c>
      <c r="W10" s="25"/>
      <c r="X10" s="25"/>
    </row>
    <row r="11" spans="1:24" ht="71.25" x14ac:dyDescent="0.45">
      <c r="A11" s="26" t="s">
        <v>39</v>
      </c>
      <c r="B11" s="26" t="s">
        <v>40</v>
      </c>
      <c r="C11" s="27" t="s">
        <v>41</v>
      </c>
      <c r="D11" s="27" t="s">
        <v>42</v>
      </c>
      <c r="E11" s="27" t="s">
        <v>43</v>
      </c>
      <c r="F11" s="27" t="s">
        <v>44</v>
      </c>
      <c r="G11" s="27" t="s">
        <v>45</v>
      </c>
      <c r="H11" s="27" t="s">
        <v>46</v>
      </c>
      <c r="I11" s="26" t="s">
        <v>47</v>
      </c>
      <c r="J11" s="27" t="s">
        <v>48</v>
      </c>
      <c r="K11" s="4"/>
      <c r="L11" s="27" t="s">
        <v>49</v>
      </c>
      <c r="M11" s="27" t="s">
        <v>50</v>
      </c>
      <c r="N11" s="27" t="s">
        <v>51</v>
      </c>
      <c r="O11" s="27" t="s">
        <v>52</v>
      </c>
      <c r="P11" s="26" t="s">
        <v>53</v>
      </c>
      <c r="Q11" s="27" t="s">
        <v>54</v>
      </c>
      <c r="S11" s="5" t="s">
        <v>55</v>
      </c>
      <c r="T11" s="5" t="s">
        <v>56</v>
      </c>
      <c r="U11" s="5" t="s">
        <v>57</v>
      </c>
      <c r="V11" s="10" t="s">
        <v>58</v>
      </c>
      <c r="W11" s="4" t="s">
        <v>59</v>
      </c>
    </row>
    <row r="12" spans="1:24" x14ac:dyDescent="0.45">
      <c r="A12" s="5">
        <v>0</v>
      </c>
      <c r="B12" s="5">
        <v>0</v>
      </c>
      <c r="C12" s="5">
        <f>B12*0.25</f>
        <v>0</v>
      </c>
      <c r="D12" s="11">
        <f>G4*8760</f>
        <v>2</v>
      </c>
      <c r="E12" s="11">
        <f>N4</f>
        <v>0.15158346057961392</v>
      </c>
      <c r="F12" s="11">
        <f>D12*E12</f>
        <v>0.30316692115922783</v>
      </c>
      <c r="G12" s="5">
        <f>240-48</f>
        <v>192</v>
      </c>
      <c r="H12" s="5">
        <v>5000</v>
      </c>
      <c r="I12" s="28">
        <f>G12*H12</f>
        <v>960000</v>
      </c>
      <c r="J12" s="28">
        <f>F12*I12</f>
        <v>291040.24431285873</v>
      </c>
      <c r="K12" s="28"/>
      <c r="L12" s="5" t="s">
        <v>60</v>
      </c>
      <c r="M12" s="29">
        <f>P5-P4</f>
        <v>0.13795390884884329</v>
      </c>
      <c r="N12" s="30">
        <f>F12-F13</f>
        <v>0.2789314650149215</v>
      </c>
      <c r="O12" s="31">
        <f>(B13+C13)/(N12*G13)</f>
        <v>350.10840385030014</v>
      </c>
      <c r="P12" s="31">
        <f>(H12-O12)*N12*G12</f>
        <v>249024.20641432461</v>
      </c>
      <c r="Q12" s="31">
        <f>P12/G12</f>
        <v>1297.0010750746073</v>
      </c>
      <c r="S12" s="32">
        <v>0.1</v>
      </c>
      <c r="T12" s="5">
        <v>10</v>
      </c>
      <c r="U12" s="28">
        <f>J12*((1-(1+S12)^-T12)/S12)</f>
        <v>1788316.3116410468</v>
      </c>
      <c r="V12" s="33">
        <f>U12-B12</f>
        <v>1788316.3116410468</v>
      </c>
      <c r="W12" s="31">
        <f>(1-(1+S12)^-T12)/S12</f>
        <v>6.1445671057046853</v>
      </c>
    </row>
    <row r="13" spans="1:24" x14ac:dyDescent="0.45">
      <c r="A13" s="5">
        <v>1</v>
      </c>
      <c r="B13" s="5">
        <v>15000</v>
      </c>
      <c r="C13" s="5">
        <f>B13*0.25</f>
        <v>3750</v>
      </c>
      <c r="D13" s="11">
        <f>G5*8760</f>
        <v>2</v>
      </c>
      <c r="E13" s="11">
        <f>N5</f>
        <v>1.2117728072153167E-2</v>
      </c>
      <c r="F13" s="11">
        <f>D13*E13</f>
        <v>2.4235456144306333E-2</v>
      </c>
      <c r="G13" s="5">
        <f>240-48</f>
        <v>192</v>
      </c>
      <c r="H13" s="5">
        <v>5000</v>
      </c>
      <c r="I13" s="28">
        <v>960000</v>
      </c>
      <c r="J13" s="28">
        <f>F13*I13</f>
        <v>23266.037898534079</v>
      </c>
      <c r="K13" s="28"/>
      <c r="L13" s="5" t="s">
        <v>61</v>
      </c>
      <c r="M13" s="29">
        <f>P6-P5</f>
        <v>1.1338677439630906E-2</v>
      </c>
      <c r="N13" s="30"/>
      <c r="P13" s="28"/>
      <c r="S13" s="32">
        <v>0.1</v>
      </c>
      <c r="T13" s="5">
        <v>10</v>
      </c>
      <c r="U13" s="28">
        <f>J13*((1-(1+S13)^-T13)/S13)</f>
        <v>142959.73115141108</v>
      </c>
      <c r="V13" s="33">
        <f>U13-B13</f>
        <v>127959.73115141108</v>
      </c>
      <c r="W13" s="31">
        <f>(1-(1+S13)^-T13)/S13</f>
        <v>6.1445671057046853</v>
      </c>
    </row>
    <row r="14" spans="1:24" x14ac:dyDescent="0.45">
      <c r="L14" s="5" t="s">
        <v>62</v>
      </c>
      <c r="M14" s="29">
        <f>P7-P6</f>
        <v>6.2129739395233585E-4</v>
      </c>
      <c r="N14" s="30"/>
    </row>
  </sheetData>
  <mergeCells count="5">
    <mergeCell ref="A2:E2"/>
    <mergeCell ref="G2:O2"/>
    <mergeCell ref="A10:D10"/>
    <mergeCell ref="E10:G10"/>
    <mergeCell ref="H10:J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RBS_Simulation</vt:lpstr>
      <vt:lpstr>Sheet4 (2)</vt:lpstr>
    </vt:vector>
  </TitlesOfParts>
  <Manager/>
  <Company>Company IT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Tok, Kiat-Siong</dc:creator>
  <cp:keywords/>
  <dc:description/>
  <cp:lastModifiedBy>Shaun Teo Ji Wu</cp:lastModifiedBy>
  <cp:revision/>
  <dcterms:created xsi:type="dcterms:W3CDTF">2026-01-12T02:17:06Z</dcterms:created>
  <dcterms:modified xsi:type="dcterms:W3CDTF">2026-01-29T00:55:04Z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2026-01-12T02:17:25Z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79f8d850-f3c1-48fc-aa1c-dae98c3f1488</vt:lpwstr>
  </property>
  <property fmtid="{D5CDD505-2E9C-101B-9397-08002B2CF9AE}" pid="7" name="MSIP_Label_defa4170-0d19-0005-0004-bc88714345d2_ActionId">
    <vt:lpwstr>8661dfb5-1611-420b-aca0-de562f3fd9ea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